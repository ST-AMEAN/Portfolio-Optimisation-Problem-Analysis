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.amean/Desktop/Portfolio Project/Protfolio ABC/"/>
    </mc:Choice>
  </mc:AlternateContent>
  <xr:revisionPtr revIDLastSave="0" documentId="13_ncr:1_{CAD9B908-7342-354A-8C55-DF0A369AAFD4}" xr6:coauthVersionLast="47" xr6:coauthVersionMax="47" xr10:uidLastSave="{00000000-0000-0000-0000-000000000000}"/>
  <bookViews>
    <workbookView xWindow="0" yWindow="740" windowWidth="26960" windowHeight="17260" activeTab="1" xr2:uid="{DBAB318F-0259-9C49-823A-06C1537FBA3A}"/>
  </bookViews>
  <sheets>
    <sheet name="Investment_Solver" sheetId="1" r:id="rId1"/>
    <sheet name="Optimise_Inverstment-Return" sheetId="3" r:id="rId2"/>
  </sheets>
  <definedNames>
    <definedName name="solver_adj" localSheetId="0" hidden="1">Investment_Solver!$E$2:$E$5</definedName>
    <definedName name="solver_adj" localSheetId="1" hidden="1">'Optimise_Inverstment-Return'!$E$2:$E$6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Investment_Solver!$B$17</definedName>
    <definedName name="solver_lhs1" localSheetId="1" hidden="1">'Optimise_Inverstment-Return'!$B$16</definedName>
    <definedName name="solver_lhs10" localSheetId="0" hidden="1">Investment_Solver!$E$5</definedName>
    <definedName name="solver_lhs2" localSheetId="0" hidden="1">Investment_Solver!$B$19</definedName>
    <definedName name="solver_lhs2" localSheetId="1" hidden="1">'Optimise_Inverstment-Return'!$B$18</definedName>
    <definedName name="solver_lhs3" localSheetId="0" hidden="1">Investment_Solver!$B$21</definedName>
    <definedName name="solver_lhs3" localSheetId="1" hidden="1">'Optimise_Inverstment-Return'!$B$20</definedName>
    <definedName name="solver_lhs4" localSheetId="0" hidden="1">Investment_Solver!$B$14</definedName>
    <definedName name="solver_lhs4" localSheetId="1" hidden="1">'Optimise_Inverstment-Return'!$B$13</definedName>
    <definedName name="solver_lhs5" localSheetId="0" hidden="1">Investment_Solver!$E$2:$E$5</definedName>
    <definedName name="solver_lhs5" localSheetId="1" hidden="1">'Optimise_Inverstment-Return'!$E$2:$E$5</definedName>
    <definedName name="solver_lhs6" localSheetId="0" hidden="1">Investment_Solver!$E$2:$E$5</definedName>
    <definedName name="solver_lhs6" localSheetId="1" hidden="1">'Optimise_Inverstment-Return'!$E$2:$E$5</definedName>
    <definedName name="solver_lhs7" localSheetId="0" hidden="1">Investment_Solver!$E$3</definedName>
    <definedName name="solver_lhs7" localSheetId="1" hidden="1">'Optimise_Inverstment-Return'!$E$3</definedName>
    <definedName name="solver_lhs8" localSheetId="0" hidden="1">Investment_Solver!$E$4</definedName>
    <definedName name="solver_lhs8" localSheetId="1" hidden="1">'Optimise_Inverstment-Return'!$E$4</definedName>
    <definedName name="solver_lhs9" localSheetId="0" hidden="1">Investment_Solver!$B$21</definedName>
    <definedName name="solver_lin" localSheetId="0" hidden="1">2</definedName>
    <definedName name="solver_lin" localSheetId="1" hidden="1">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8</definedName>
    <definedName name="solver_num" localSheetId="1" hidden="1">8</definedName>
    <definedName name="solver_opt" localSheetId="0" hidden="1">Investment_Solver!$B$22</definedName>
    <definedName name="solver_opt" localSheetId="1" hidden="1">'Optimise_Inverstment-Return'!$E$8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10" localSheetId="0" hidden="1">4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1</definedName>
    <definedName name="solver_rel4" localSheetId="1" hidden="1">1</definedName>
    <definedName name="solver_rel5" localSheetId="0" hidden="1">4</definedName>
    <definedName name="solver_rel5" localSheetId="1" hidden="1">4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1</definedName>
    <definedName name="solver_rel8" localSheetId="0" hidden="1">1</definedName>
    <definedName name="solver_rel8" localSheetId="1" hidden="1">1</definedName>
    <definedName name="solver_rel9" localSheetId="0" hidden="1">3</definedName>
    <definedName name="solver_rhs1" localSheetId="0" hidden="1">Investment_Solver!$B$9</definedName>
    <definedName name="solver_rhs1" localSheetId="1" hidden="1">'Optimise_Inverstment-Return'!$B$8</definedName>
    <definedName name="solver_rhs10" localSheetId="0" hidden="1">"integer"</definedName>
    <definedName name="solver_rhs2" localSheetId="0" hidden="1">Investment_Solver!$B$9</definedName>
    <definedName name="solver_rhs2" localSheetId="1" hidden="1">'Optimise_Inverstment-Return'!$B$8</definedName>
    <definedName name="solver_rhs3" localSheetId="0" hidden="1">Investment_Solver!$B$9</definedName>
    <definedName name="solver_rhs3" localSheetId="1" hidden="1">'Optimise_Inverstment-Return'!$B$8</definedName>
    <definedName name="solver_rhs4" localSheetId="0" hidden="1">Investment_Solver!$B$7</definedName>
    <definedName name="solver_rhs4" localSheetId="1" hidden="1">'Optimise_Inverstment-Return'!$E$6</definedName>
    <definedName name="solver_rhs5" localSheetId="0" hidden="1">"integer"</definedName>
    <definedName name="solver_rhs5" localSheetId="1" hidden="1">"integer"</definedName>
    <definedName name="solver_rhs6" localSheetId="0" hidden="1">0</definedName>
    <definedName name="solver_rhs6" localSheetId="1" hidden="1">0</definedName>
    <definedName name="solver_rhs7" localSheetId="0" hidden="1">Investment_Solver!$B$8</definedName>
    <definedName name="solver_rhs7" localSheetId="1" hidden="1">'Optimise_Inverstment-Return'!$B$7</definedName>
    <definedName name="solver_rhs8" localSheetId="0" hidden="1">Investment_Solver!$B$8</definedName>
    <definedName name="solver_rhs8" localSheetId="1" hidden="1">'Optimise_Inverstment-Return'!$B$7</definedName>
    <definedName name="solver_rhs9" localSheetId="0" hidden="1">Investment_Solver!$B$9</definedName>
    <definedName name="solver_rlx" localSheetId="0" hidden="1">2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2</definedName>
    <definedName name="solver_ver" localSheetId="1" hidden="1">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3" l="1"/>
  <c r="B12" i="3"/>
  <c r="B11" i="3"/>
  <c r="B10" i="3"/>
  <c r="B20" i="3"/>
  <c r="B18" i="3"/>
  <c r="B21" i="1"/>
  <c r="B19" i="1"/>
  <c r="B13" i="1"/>
  <c r="B12" i="1"/>
  <c r="B11" i="1"/>
  <c r="B17" i="1"/>
  <c r="B13" i="3" l="1"/>
  <c r="B21" i="3"/>
  <c r="E8" i="3" s="1"/>
  <c r="B22" i="1"/>
  <c r="B14" i="1"/>
</calcChain>
</file>

<file path=xl/sharedStrings.xml><?xml version="1.0" encoding="utf-8"?>
<sst xmlns="http://schemas.openxmlformats.org/spreadsheetml/2006/main" count="72" uniqueCount="34">
  <si>
    <t>number of call options bought (y)</t>
  </si>
  <si>
    <t>number of call options sold (z)</t>
  </si>
  <si>
    <t>Call option price per 100 shares</t>
  </si>
  <si>
    <t>Strike price of call option</t>
  </si>
  <si>
    <t>Zero-coupon bond face value</t>
  </si>
  <si>
    <t xml:space="preserve">Zero-coupon bond price	</t>
  </si>
  <si>
    <t xml:space="preserve">Initial investment	</t>
  </si>
  <si>
    <t xml:space="preserve">Max number of call options to buy/sell	</t>
  </si>
  <si>
    <t xml:space="preserve">Minimum desired profit	</t>
  </si>
  <si>
    <t>Total Investment</t>
  </si>
  <si>
    <t>Profit</t>
  </si>
  <si>
    <t xml:space="preserve">Scenario 1: Stock price remains at </t>
  </si>
  <si>
    <t xml:space="preserve">Scenario 2: Stock price rises to </t>
  </si>
  <si>
    <t xml:space="preserve">Scenario 3: Stock price falls to </t>
  </si>
  <si>
    <t>Expected Profit</t>
  </si>
  <si>
    <t>Investment amount</t>
  </si>
  <si>
    <t>auxiliary variable for bonds (a)</t>
  </si>
  <si>
    <t>INPUT</t>
  </si>
  <si>
    <t xml:space="preserve">Scenario </t>
  </si>
  <si>
    <t xml:space="preserve"> </t>
  </si>
  <si>
    <t>Stock price per share (ABC)</t>
  </si>
  <si>
    <t>number of shares of stock ABC (x)</t>
  </si>
  <si>
    <t>Decision / Changing Variable</t>
  </si>
  <si>
    <t>Profit : Scenario 1</t>
  </si>
  <si>
    <t>Profit : Scenario 2</t>
  </si>
  <si>
    <t>Profit : Scenario 3</t>
  </si>
  <si>
    <t xml:space="preserve">Shares of stock ABC </t>
  </si>
  <si>
    <t xml:space="preserve">European call option </t>
  </si>
  <si>
    <t xml:space="preserve">Zero-coupon bonds </t>
  </si>
  <si>
    <t xml:space="preserve">Initial investment	 (£)	</t>
  </si>
  <si>
    <t>Investment Return Analysis</t>
  </si>
  <si>
    <t>ROI %</t>
  </si>
  <si>
    <t>ROI : Return on Investment  (%)</t>
  </si>
  <si>
    <t>Return on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</si>
</sst>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sz val="16"/>
      <name val="Tahoma"/>
      <family val="2"/>
    </font>
    <font>
      <sz val="16"/>
      <color theme="0"/>
      <name val="Tahoma"/>
      <family val="2"/>
    </font>
    <font>
      <b/>
      <sz val="16"/>
      <name val="Tahoma"/>
      <family val="2"/>
    </font>
    <font>
      <b/>
      <sz val="16"/>
      <color theme="0"/>
      <name val="Tahoma"/>
      <family val="2"/>
    </font>
    <font>
      <b/>
      <sz val="14"/>
      <color rgb="FF000000"/>
      <name val="Tahoma"/>
      <family val="2"/>
    </font>
    <font>
      <sz val="12"/>
      <color theme="1"/>
      <name val="Aptos Narrow"/>
      <family val="2"/>
      <scheme val="minor"/>
    </font>
    <font>
      <sz val="14"/>
      <name val="Tahoma"/>
      <family val="2"/>
    </font>
    <font>
      <sz val="14"/>
      <color theme="1"/>
      <name val="Tahoma"/>
      <family val="2"/>
    </font>
    <font>
      <sz val="16"/>
      <color theme="6" tint="-0.499984740745262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7" xfId="0" applyFont="1" applyBorder="1"/>
    <xf numFmtId="0" fontId="3" fillId="0" borderId="3" xfId="0" applyFont="1" applyBorder="1"/>
    <xf numFmtId="0" fontId="1" fillId="0" borderId="12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9" xfId="0" applyFont="1" applyBorder="1"/>
    <xf numFmtId="0" fontId="1" fillId="0" borderId="26" xfId="0" applyFont="1" applyBorder="1" applyAlignment="1">
      <alignment horizontal="left"/>
    </xf>
    <xf numFmtId="0" fontId="8" fillId="3" borderId="17" xfId="0" applyFont="1" applyFill="1" applyBorder="1" applyAlignment="1">
      <alignment horizontal="center"/>
    </xf>
    <xf numFmtId="0" fontId="1" fillId="3" borderId="8" xfId="0" applyFont="1" applyFill="1" applyBorder="1"/>
    <xf numFmtId="0" fontId="1" fillId="0" borderId="2" xfId="0" applyFont="1" applyBorder="1"/>
    <xf numFmtId="0" fontId="1" fillId="3" borderId="2" xfId="0" applyFont="1" applyFill="1" applyBorder="1"/>
    <xf numFmtId="0" fontId="2" fillId="2" borderId="4" xfId="0" applyFont="1" applyFill="1" applyBorder="1"/>
    <xf numFmtId="0" fontId="8" fillId="7" borderId="25" xfId="0" applyFont="1" applyFill="1" applyBorder="1" applyAlignment="1">
      <alignment horizontal="center"/>
    </xf>
    <xf numFmtId="0" fontId="8" fillId="7" borderId="20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center"/>
    </xf>
    <xf numFmtId="0" fontId="8" fillId="7" borderId="2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23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8" fillId="7" borderId="24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" fillId="3" borderId="6" xfId="0" applyFont="1" applyFill="1" applyBorder="1"/>
    <xf numFmtId="0" fontId="1" fillId="0" borderId="8" xfId="0" applyFont="1" applyBorder="1"/>
    <xf numFmtId="0" fontId="1" fillId="0" borderId="6" xfId="0" applyFont="1" applyBorder="1"/>
    <xf numFmtId="0" fontId="2" fillId="2" borderId="8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7" xfId="0" applyFont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2" fontId="1" fillId="0" borderId="0" xfId="0" applyNumberFormat="1" applyFont="1" applyAlignment="1">
      <alignment vertical="center"/>
    </xf>
    <xf numFmtId="0" fontId="9" fillId="6" borderId="8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0" fontId="9" fillId="6" borderId="4" xfId="0" applyFont="1" applyFill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3" fillId="0" borderId="3" xfId="0" applyFont="1" applyBorder="1" applyAlignment="1">
      <alignment vertical="center"/>
    </xf>
    <xf numFmtId="10" fontId="1" fillId="0" borderId="4" xfId="1" applyNumberFormat="1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4" xfId="0" applyFont="1" applyBorder="1" applyAlignment="1">
      <alignment vertical="center"/>
    </xf>
    <xf numFmtId="10" fontId="7" fillId="5" borderId="27" xfId="1" applyNumberFormat="1" applyFont="1" applyFill="1" applyBorder="1" applyAlignment="1">
      <alignment horizontal="center"/>
    </xf>
    <xf numFmtId="10" fontId="7" fillId="5" borderId="28" xfId="1" applyNumberFormat="1" applyFont="1" applyFill="1" applyBorder="1" applyAlignment="1">
      <alignment horizontal="center"/>
    </xf>
    <xf numFmtId="10" fontId="7" fillId="5" borderId="29" xfId="1" applyNumberFormat="1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5A0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101600</xdr:rowOff>
        </xdr:from>
        <xdr:to>
          <xdr:col>3</xdr:col>
          <xdr:colOff>927100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5</xdr:row>
          <xdr:rowOff>101600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Clear Chaning Variable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1110074</xdr:colOff>
      <xdr:row>0</xdr:row>
      <xdr:rowOff>70556</xdr:rowOff>
    </xdr:from>
    <xdr:to>
      <xdr:col>12</xdr:col>
      <xdr:colOff>156789</xdr:colOff>
      <xdr:row>6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332790" y="70556"/>
          <a:ext cx="7717209" cy="1465987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Note:</a:t>
          </a:r>
        </a:p>
        <a:p>
          <a:pPr algn="l"/>
          <a:r>
            <a:rPr lang="en-GB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All values in the blue cells are adjustable. Change these inputs to experiment with different scenarios.</a:t>
          </a:r>
        </a:p>
        <a:p>
          <a:pPr algn="l"/>
          <a:endParaRPr lang="en-GB" sz="12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200" b="1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Remark:</a:t>
          </a:r>
        </a:p>
        <a:p>
          <a:pPr algn="l"/>
          <a:r>
            <a:rPr lang="en-GB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Based on the initial problem criteria, the minimum investment required to achieve a minimum desired profit of £2,000 is £18,000.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24</xdr:row>
          <xdr:rowOff>0</xdr:rowOff>
        </xdr:from>
        <xdr:to>
          <xdr:col>3</xdr:col>
          <xdr:colOff>1714500</xdr:colOff>
          <xdr:row>25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Fill The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2146300</xdr:colOff>
          <xdr:row>24</xdr:row>
          <xdr:rowOff>12700</xdr:rowOff>
        </xdr:from>
        <xdr:to>
          <xdr:col>3</xdr:col>
          <xdr:colOff>3657600</xdr:colOff>
          <xdr:row>25</xdr:row>
          <xdr:rowOff>177800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2552700</xdr:colOff>
          <xdr:row>8</xdr:row>
          <xdr:rowOff>88900</xdr:rowOff>
        </xdr:from>
        <xdr:to>
          <xdr:col>5</xdr:col>
          <xdr:colOff>0</xdr:colOff>
          <xdr:row>10</xdr:row>
          <xdr:rowOff>12700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Clear Decision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88900</xdr:rowOff>
        </xdr:from>
        <xdr:to>
          <xdr:col>3</xdr:col>
          <xdr:colOff>1536700</xdr:colOff>
          <xdr:row>10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6AAE-9483-3144-9B03-5A35D62B7B3F}">
  <sheetPr codeName="Sheet1"/>
  <dimension ref="A1:N26"/>
  <sheetViews>
    <sheetView zoomScale="81" workbookViewId="0">
      <selection activeCell="H32" sqref="H32"/>
    </sheetView>
  </sheetViews>
  <sheetFormatPr baseColWidth="10" defaultRowHeight="20" x14ac:dyDescent="0.2"/>
  <cols>
    <col min="1" max="1" width="49.1640625" style="1" customWidth="1"/>
    <col min="2" max="2" width="16.83203125" style="1" customWidth="1"/>
    <col min="3" max="3" width="3" style="1" customWidth="1"/>
    <col min="4" max="4" width="48.83203125" style="1" customWidth="1"/>
    <col min="5" max="11" width="16.33203125" style="1" customWidth="1"/>
    <col min="12" max="14" width="16.1640625" style="1" customWidth="1"/>
    <col min="15" max="16384" width="10.83203125" style="1"/>
  </cols>
  <sheetData>
    <row r="1" spans="1:14" ht="21" thickBot="1" x14ac:dyDescent="0.25">
      <c r="A1" s="77" t="s">
        <v>17</v>
      </c>
      <c r="B1" s="78"/>
      <c r="C1" s="3"/>
      <c r="D1" s="77" t="s">
        <v>22</v>
      </c>
      <c r="E1" s="78"/>
    </row>
    <row r="2" spans="1:14" x14ac:dyDescent="0.2">
      <c r="A2" s="7" t="s">
        <v>20</v>
      </c>
      <c r="B2" s="17">
        <v>20</v>
      </c>
      <c r="C2" s="2"/>
      <c r="D2" s="7" t="s">
        <v>21</v>
      </c>
      <c r="E2" s="50">
        <v>0</v>
      </c>
    </row>
    <row r="3" spans="1:14" x14ac:dyDescent="0.2">
      <c r="A3" s="4" t="s">
        <v>2</v>
      </c>
      <c r="B3" s="19">
        <v>1000</v>
      </c>
      <c r="C3" s="2"/>
      <c r="D3" s="4" t="s">
        <v>0</v>
      </c>
      <c r="E3" s="51">
        <v>2</v>
      </c>
    </row>
    <row r="4" spans="1:14" x14ac:dyDescent="0.2">
      <c r="A4" s="4" t="s">
        <v>3</v>
      </c>
      <c r="B4" s="19">
        <v>15</v>
      </c>
      <c r="C4" s="2"/>
      <c r="D4" s="4" t="s">
        <v>1</v>
      </c>
      <c r="E4" s="51">
        <v>0</v>
      </c>
    </row>
    <row r="5" spans="1:14" ht="21" thickBot="1" x14ac:dyDescent="0.25">
      <c r="A5" s="4" t="s">
        <v>4</v>
      </c>
      <c r="B5" s="19">
        <v>100</v>
      </c>
      <c r="C5" s="2"/>
      <c r="D5" s="5" t="s">
        <v>16</v>
      </c>
      <c r="E5" s="20">
        <v>200</v>
      </c>
    </row>
    <row r="6" spans="1:14" x14ac:dyDescent="0.2">
      <c r="A6" s="4" t="s">
        <v>5</v>
      </c>
      <c r="B6" s="19">
        <v>90</v>
      </c>
      <c r="C6" s="2"/>
    </row>
    <row r="7" spans="1:14" x14ac:dyDescent="0.2">
      <c r="A7" s="4" t="s">
        <v>6</v>
      </c>
      <c r="B7" s="19">
        <v>20000</v>
      </c>
      <c r="C7" s="2"/>
    </row>
    <row r="8" spans="1:14" x14ac:dyDescent="0.2">
      <c r="A8" s="4" t="s">
        <v>7</v>
      </c>
      <c r="B8" s="19">
        <v>50</v>
      </c>
      <c r="C8" s="2"/>
    </row>
    <row r="9" spans="1:14" ht="21" thickBot="1" x14ac:dyDescent="0.25">
      <c r="A9" s="6" t="s">
        <v>8</v>
      </c>
      <c r="B9" s="47">
        <v>2000</v>
      </c>
      <c r="C9" s="2"/>
      <c r="D9" s="79" t="s">
        <v>30</v>
      </c>
      <c r="E9" s="79"/>
      <c r="F9" s="79"/>
      <c r="G9" s="79"/>
      <c r="H9" s="79"/>
      <c r="I9" s="79"/>
      <c r="J9" s="79"/>
      <c r="K9" s="79"/>
      <c r="L9" s="79"/>
      <c r="M9" s="79"/>
      <c r="N9" s="79"/>
    </row>
    <row r="10" spans="1:14" ht="21" customHeight="1" thickBot="1" x14ac:dyDescent="0.25">
      <c r="A10" s="77" t="s">
        <v>15</v>
      </c>
      <c r="B10" s="78"/>
      <c r="C10" s="2"/>
      <c r="D10" s="9" t="s">
        <v>29</v>
      </c>
      <c r="E10" s="16">
        <v>20000</v>
      </c>
      <c r="F10" s="16">
        <v>30000</v>
      </c>
      <c r="G10" s="16">
        <v>40000</v>
      </c>
      <c r="H10" s="16">
        <v>50000</v>
      </c>
      <c r="I10" s="16">
        <v>60000</v>
      </c>
      <c r="J10" s="16">
        <v>70000</v>
      </c>
      <c r="K10" s="16">
        <v>80000</v>
      </c>
      <c r="L10" s="16">
        <v>90000</v>
      </c>
      <c r="M10" s="16">
        <v>100000</v>
      </c>
      <c r="N10" s="16">
        <v>110000</v>
      </c>
    </row>
    <row r="11" spans="1:14" x14ac:dyDescent="0.2">
      <c r="A11" s="7" t="s">
        <v>26</v>
      </c>
      <c r="B11" s="48">
        <f>E2*B2</f>
        <v>0</v>
      </c>
      <c r="C11" s="2"/>
      <c r="D11" s="13" t="s">
        <v>21</v>
      </c>
      <c r="E11" s="21">
        <v>0</v>
      </c>
      <c r="F11" s="22">
        <v>0</v>
      </c>
      <c r="G11" s="22">
        <v>0</v>
      </c>
      <c r="H11" s="22">
        <v>0</v>
      </c>
      <c r="I11" s="22">
        <v>0</v>
      </c>
      <c r="J11" s="22">
        <v>19</v>
      </c>
      <c r="K11" s="22">
        <v>130</v>
      </c>
      <c r="L11" s="22">
        <v>236</v>
      </c>
      <c r="M11" s="23">
        <v>347</v>
      </c>
      <c r="N11" s="24">
        <v>456</v>
      </c>
    </row>
    <row r="12" spans="1:14" x14ac:dyDescent="0.2">
      <c r="A12" s="4" t="s">
        <v>27</v>
      </c>
      <c r="B12" s="18">
        <f>(E3*B3)-(E4*B3)</f>
        <v>2000</v>
      </c>
      <c r="C12" s="2"/>
      <c r="D12" s="11" t="s">
        <v>0</v>
      </c>
      <c r="E12" s="25">
        <v>2</v>
      </c>
      <c r="F12" s="26">
        <v>12</v>
      </c>
      <c r="G12" s="26">
        <v>50</v>
      </c>
      <c r="H12" s="26">
        <v>32</v>
      </c>
      <c r="I12" s="26">
        <v>42</v>
      </c>
      <c r="J12" s="26">
        <v>50</v>
      </c>
      <c r="K12" s="26">
        <v>50</v>
      </c>
      <c r="L12" s="26">
        <v>50</v>
      </c>
      <c r="M12" s="27">
        <v>50</v>
      </c>
      <c r="N12" s="28">
        <v>50</v>
      </c>
    </row>
    <row r="13" spans="1:14" x14ac:dyDescent="0.2">
      <c r="A13" s="4" t="s">
        <v>28</v>
      </c>
      <c r="B13" s="18">
        <f>E5*B6</f>
        <v>18000</v>
      </c>
      <c r="C13" s="2"/>
      <c r="D13" s="11" t="s">
        <v>1</v>
      </c>
      <c r="E13" s="25">
        <v>0</v>
      </c>
      <c r="F13" s="26">
        <v>0</v>
      </c>
      <c r="G13" s="26">
        <v>28</v>
      </c>
      <c r="H13" s="26">
        <v>0</v>
      </c>
      <c r="I13" s="26">
        <v>0</v>
      </c>
      <c r="J13" s="26">
        <v>0</v>
      </c>
      <c r="K13" s="26">
        <v>0</v>
      </c>
      <c r="L13" s="26">
        <v>0</v>
      </c>
      <c r="M13" s="27">
        <v>0</v>
      </c>
      <c r="N13" s="28">
        <v>0</v>
      </c>
    </row>
    <row r="14" spans="1:14" ht="21" thickBot="1" x14ac:dyDescent="0.25">
      <c r="A14" s="6" t="s">
        <v>9</v>
      </c>
      <c r="B14" s="49">
        <f>B11+B12+B13</f>
        <v>20000</v>
      </c>
      <c r="C14" s="2"/>
      <c r="D14" s="12" t="s">
        <v>16</v>
      </c>
      <c r="E14" s="29">
        <v>200</v>
      </c>
      <c r="F14" s="30">
        <v>200</v>
      </c>
      <c r="G14" s="30">
        <v>200</v>
      </c>
      <c r="H14" s="30">
        <v>200</v>
      </c>
      <c r="I14" s="30">
        <v>200</v>
      </c>
      <c r="J14" s="30">
        <v>218</v>
      </c>
      <c r="K14" s="30">
        <v>304</v>
      </c>
      <c r="L14" s="30">
        <v>392</v>
      </c>
      <c r="M14" s="31">
        <v>478</v>
      </c>
      <c r="N14" s="32">
        <v>565</v>
      </c>
    </row>
    <row r="15" spans="1:14" ht="21" thickBot="1" x14ac:dyDescent="0.25">
      <c r="A15" s="77" t="s">
        <v>18</v>
      </c>
      <c r="B15" s="78"/>
      <c r="D15" s="13" t="s">
        <v>26</v>
      </c>
      <c r="E15" s="33">
        <v>0</v>
      </c>
      <c r="F15" s="34">
        <v>0</v>
      </c>
      <c r="G15" s="34">
        <v>0</v>
      </c>
      <c r="H15" s="34">
        <v>0</v>
      </c>
      <c r="I15" s="34">
        <v>0</v>
      </c>
      <c r="J15" s="34">
        <v>380</v>
      </c>
      <c r="K15" s="34">
        <v>2600</v>
      </c>
      <c r="L15" s="34">
        <v>4720</v>
      </c>
      <c r="M15" s="35">
        <v>6940</v>
      </c>
      <c r="N15" s="36">
        <v>9120</v>
      </c>
    </row>
    <row r="16" spans="1:14" x14ac:dyDescent="0.2">
      <c r="A16" s="7" t="s">
        <v>11</v>
      </c>
      <c r="B16" s="17">
        <v>20</v>
      </c>
      <c r="C16" s="2"/>
      <c r="D16" s="11" t="s">
        <v>27</v>
      </c>
      <c r="E16" s="37">
        <v>2000</v>
      </c>
      <c r="F16" s="38">
        <v>12000</v>
      </c>
      <c r="G16" s="38">
        <v>22000</v>
      </c>
      <c r="H16" s="38">
        <v>32000</v>
      </c>
      <c r="I16" s="38">
        <v>42000</v>
      </c>
      <c r="J16" s="38">
        <v>50000</v>
      </c>
      <c r="K16" s="38">
        <v>50000</v>
      </c>
      <c r="L16" s="38">
        <v>50000</v>
      </c>
      <c r="M16" s="39">
        <v>50000</v>
      </c>
      <c r="N16" s="40">
        <v>50000</v>
      </c>
    </row>
    <row r="17" spans="1:14" x14ac:dyDescent="0.2">
      <c r="A17" s="4" t="s">
        <v>10</v>
      </c>
      <c r="B17" s="18">
        <f>($E$2*(B16-$B$2))+MAX(0,B16-$B$4)*(100*$E$3)-MAX(0,B16-$B$4)*(100*$E$4)+(($B$5-$B$6)*$E$5)</f>
        <v>3000</v>
      </c>
      <c r="C17" s="2"/>
      <c r="D17" s="11" t="s">
        <v>28</v>
      </c>
      <c r="E17" s="37">
        <v>18000</v>
      </c>
      <c r="F17" s="38">
        <v>18000</v>
      </c>
      <c r="G17" s="38">
        <v>18000</v>
      </c>
      <c r="H17" s="38">
        <v>18000</v>
      </c>
      <c r="I17" s="38">
        <v>18000</v>
      </c>
      <c r="J17" s="38">
        <v>19620</v>
      </c>
      <c r="K17" s="38">
        <v>27360</v>
      </c>
      <c r="L17" s="38">
        <v>35280</v>
      </c>
      <c r="M17" s="39">
        <v>43020</v>
      </c>
      <c r="N17" s="40">
        <v>50850</v>
      </c>
    </row>
    <row r="18" spans="1:14" ht="21" thickBot="1" x14ac:dyDescent="0.25">
      <c r="A18" s="4" t="s">
        <v>12</v>
      </c>
      <c r="B18" s="19">
        <v>40</v>
      </c>
      <c r="C18" s="2"/>
      <c r="D18" s="12" t="s">
        <v>9</v>
      </c>
      <c r="E18" s="41">
        <v>20000</v>
      </c>
      <c r="F18" s="42">
        <v>30000</v>
      </c>
      <c r="G18" s="42">
        <v>40000</v>
      </c>
      <c r="H18" s="42">
        <v>50000</v>
      </c>
      <c r="I18" s="42">
        <v>60000</v>
      </c>
      <c r="J18" s="42">
        <v>70000</v>
      </c>
      <c r="K18" s="42">
        <v>79960</v>
      </c>
      <c r="L18" s="42">
        <v>90000</v>
      </c>
      <c r="M18" s="43">
        <v>99960</v>
      </c>
      <c r="N18" s="44">
        <v>109970</v>
      </c>
    </row>
    <row r="19" spans="1:14" x14ac:dyDescent="0.2">
      <c r="A19" s="4" t="s">
        <v>10</v>
      </c>
      <c r="B19" s="18">
        <f>($E$2*(B18-$B$2))+MAX(0,B18-$B$4)*(100*$E$3)-MAX(0,B18-$B$4)*(100*$E$4)+(($B$5-$B$6)*$E$5)</f>
        <v>7000</v>
      </c>
      <c r="C19" s="2"/>
      <c r="D19" s="10" t="s">
        <v>23</v>
      </c>
      <c r="E19" s="45">
        <v>3000</v>
      </c>
      <c r="F19" s="34">
        <v>8000</v>
      </c>
      <c r="G19" s="34">
        <v>13000</v>
      </c>
      <c r="H19" s="34">
        <v>18000</v>
      </c>
      <c r="I19" s="34">
        <v>23000</v>
      </c>
      <c r="J19" s="34">
        <v>27180</v>
      </c>
      <c r="K19" s="34">
        <v>28040</v>
      </c>
      <c r="L19" s="34">
        <v>28920</v>
      </c>
      <c r="M19" s="35">
        <v>29780</v>
      </c>
      <c r="N19" s="36">
        <v>30650</v>
      </c>
    </row>
    <row r="20" spans="1:14" x14ac:dyDescent="0.2">
      <c r="A20" s="4" t="s">
        <v>13</v>
      </c>
      <c r="B20" s="19">
        <v>12</v>
      </c>
      <c r="C20" s="2"/>
      <c r="D20" s="11" t="s">
        <v>24</v>
      </c>
      <c r="E20" s="46">
        <v>7000</v>
      </c>
      <c r="F20" s="38">
        <v>32000</v>
      </c>
      <c r="G20" s="38">
        <v>57000</v>
      </c>
      <c r="H20" s="38">
        <v>82000</v>
      </c>
      <c r="I20" s="38">
        <v>107000</v>
      </c>
      <c r="J20" s="38">
        <v>127560</v>
      </c>
      <c r="K20" s="38">
        <v>130640</v>
      </c>
      <c r="L20" s="38">
        <v>133640</v>
      </c>
      <c r="M20" s="39">
        <v>136720</v>
      </c>
      <c r="N20" s="40">
        <v>139770</v>
      </c>
    </row>
    <row r="21" spans="1:14" x14ac:dyDescent="0.2">
      <c r="A21" s="4" t="s">
        <v>10</v>
      </c>
      <c r="B21" s="18">
        <f>($E$2*(B20-$B$2))+MAX(0,B20-$B$4)*(100*$E$3)-MAX(0,B20-$B$4)*(100*$E$4)+(($B$5-$B$6)*$E$5)</f>
        <v>2000</v>
      </c>
      <c r="C21" s="2"/>
      <c r="D21" s="11" t="s">
        <v>25</v>
      </c>
      <c r="E21" s="46">
        <v>2000</v>
      </c>
      <c r="F21" s="38">
        <v>2000</v>
      </c>
      <c r="G21" s="38">
        <v>2000</v>
      </c>
      <c r="H21" s="38">
        <v>2000</v>
      </c>
      <c r="I21" s="38">
        <v>2000</v>
      </c>
      <c r="J21" s="38">
        <v>2028</v>
      </c>
      <c r="K21" s="38">
        <v>2000</v>
      </c>
      <c r="L21" s="38">
        <v>2032</v>
      </c>
      <c r="M21" s="39">
        <v>2004</v>
      </c>
      <c r="N21" s="40">
        <v>2002</v>
      </c>
    </row>
    <row r="22" spans="1:14" ht="21" thickBot="1" x14ac:dyDescent="0.25">
      <c r="A22" s="8" t="s">
        <v>14</v>
      </c>
      <c r="B22" s="20">
        <f>(B17+B19+B21)/3</f>
        <v>4000</v>
      </c>
      <c r="D22" s="15" t="s">
        <v>14</v>
      </c>
      <c r="E22" s="29">
        <v>4000</v>
      </c>
      <c r="F22" s="30">
        <v>14000</v>
      </c>
      <c r="G22" s="30">
        <v>24000</v>
      </c>
      <c r="H22" s="30">
        <v>34000</v>
      </c>
      <c r="I22" s="30">
        <v>44000</v>
      </c>
      <c r="J22" s="30">
        <v>52256</v>
      </c>
      <c r="K22" s="30">
        <v>53560</v>
      </c>
      <c r="L22" s="30">
        <v>54864</v>
      </c>
      <c r="M22" s="31">
        <v>56168</v>
      </c>
      <c r="N22" s="32">
        <v>57474</v>
      </c>
    </row>
    <row r="23" spans="1:14" ht="20" customHeight="1" thickBot="1" x14ac:dyDescent="0.25">
      <c r="C23" s="2"/>
      <c r="D23" s="14" t="s">
        <v>32</v>
      </c>
      <c r="E23" s="74">
        <v>0.2</v>
      </c>
      <c r="F23" s="75">
        <v>0.46666666666666667</v>
      </c>
      <c r="G23" s="75">
        <v>0.6</v>
      </c>
      <c r="H23" s="75">
        <v>0.68</v>
      </c>
      <c r="I23" s="75">
        <v>0.73333333333333328</v>
      </c>
      <c r="J23" s="75">
        <v>0.74651428571428569</v>
      </c>
      <c r="K23" s="75">
        <v>0.66949999999999998</v>
      </c>
      <c r="L23" s="75">
        <v>0.60960000000000003</v>
      </c>
      <c r="M23" s="75">
        <v>0.56167999999999996</v>
      </c>
      <c r="N23" s="76">
        <v>0.52249090909090912</v>
      </c>
    </row>
    <row r="24" spans="1:14" ht="20" customHeight="1" x14ac:dyDescent="0.2"/>
    <row r="25" spans="1:14" ht="20" customHeight="1" x14ac:dyDescent="0.2"/>
    <row r="26" spans="1:14" x14ac:dyDescent="0.2">
      <c r="A26" s="1" t="s">
        <v>19</v>
      </c>
      <c r="H26" s="2"/>
    </row>
  </sheetData>
  <mergeCells count="5">
    <mergeCell ref="A15:B15"/>
    <mergeCell ref="A10:B10"/>
    <mergeCell ref="A1:B1"/>
    <mergeCell ref="D1:E1"/>
    <mergeCell ref="D9:N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olveModel">
                <anchor moveWithCells="1" sizeWithCells="1">
                  <from>
                    <xdr:col>3</xdr:col>
                    <xdr:colOff>12700</xdr:colOff>
                    <xdr:row>5</xdr:row>
                    <xdr:rowOff>101600</xdr:rowOff>
                  </from>
                  <to>
                    <xdr:col>3</xdr:col>
                    <xdr:colOff>927100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SolverParameters">
                <anchor moveWithCells="1" sizeWithCells="1">
                  <from>
                    <xdr:col>3</xdr:col>
                    <xdr:colOff>1524000</xdr:colOff>
                    <xdr:row>5</xdr:row>
                    <xdr:rowOff>101600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olveForDifferentInvestments">
                <anchor moveWithCells="1" sizeWithCells="1">
                  <from>
                    <xdr:col>3</xdr:col>
                    <xdr:colOff>38100</xdr:colOff>
                    <xdr:row>24</xdr:row>
                    <xdr:rowOff>0</xdr:rowOff>
                  </from>
                  <to>
                    <xdr:col>3</xdr:col>
                    <xdr:colOff>1714500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Table">
                <anchor moveWithCells="1" sizeWithCells="1">
                  <from>
                    <xdr:col>3</xdr:col>
                    <xdr:colOff>2146300</xdr:colOff>
                    <xdr:row>24</xdr:row>
                    <xdr:rowOff>12700</xdr:rowOff>
                  </from>
                  <to>
                    <xdr:col>3</xdr:col>
                    <xdr:colOff>3657600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4DD89-50CE-7044-A3C7-0F4E8A782F0E}">
  <sheetPr codeName="Sheet3"/>
  <dimension ref="A1:E22"/>
  <sheetViews>
    <sheetView tabSelected="1" zoomScale="75" workbookViewId="0">
      <selection activeCell="B39" sqref="B39"/>
    </sheetView>
  </sheetViews>
  <sheetFormatPr baseColWidth="10" defaultRowHeight="16" x14ac:dyDescent="0.2"/>
  <cols>
    <col min="1" max="1" width="50" style="53" customWidth="1"/>
    <col min="2" max="2" width="16.6640625" style="53" customWidth="1"/>
    <col min="3" max="3" width="3" style="53" customWidth="1"/>
    <col min="4" max="4" width="49.83203125" style="53" customWidth="1"/>
    <col min="5" max="5" width="17.33203125" style="53" customWidth="1"/>
    <col min="6" max="16384" width="10.83203125" style="53"/>
  </cols>
  <sheetData>
    <row r="1" spans="1:5" ht="21" thickBot="1" x14ac:dyDescent="0.25">
      <c r="A1" s="77" t="s">
        <v>17</v>
      </c>
      <c r="B1" s="78"/>
      <c r="C1" s="52"/>
      <c r="D1" s="77" t="s">
        <v>22</v>
      </c>
      <c r="E1" s="78"/>
    </row>
    <row r="2" spans="1:5" ht="20" x14ac:dyDescent="0.2">
      <c r="A2" s="54" t="s">
        <v>20</v>
      </c>
      <c r="B2" s="55">
        <v>20</v>
      </c>
      <c r="C2" s="56"/>
      <c r="D2" s="54" t="s">
        <v>21</v>
      </c>
      <c r="E2" s="57">
        <v>0</v>
      </c>
    </row>
    <row r="3" spans="1:5" ht="20" x14ac:dyDescent="0.2">
      <c r="A3" s="58" t="s">
        <v>2</v>
      </c>
      <c r="B3" s="59">
        <v>1000</v>
      </c>
      <c r="C3" s="56"/>
      <c r="D3" s="58" t="s">
        <v>0</v>
      </c>
      <c r="E3" s="60">
        <v>50</v>
      </c>
    </row>
    <row r="4" spans="1:5" ht="20" x14ac:dyDescent="0.2">
      <c r="A4" s="58" t="s">
        <v>3</v>
      </c>
      <c r="B4" s="59">
        <v>15</v>
      </c>
      <c r="C4" s="56"/>
      <c r="D4" s="58" t="s">
        <v>1</v>
      </c>
      <c r="E4" s="60">
        <v>0</v>
      </c>
    </row>
    <row r="5" spans="1:5" ht="21" thickBot="1" x14ac:dyDescent="0.25">
      <c r="A5" s="58" t="s">
        <v>4</v>
      </c>
      <c r="B5" s="59">
        <v>100</v>
      </c>
      <c r="C5" s="56"/>
      <c r="D5" s="61" t="s">
        <v>16</v>
      </c>
      <c r="E5" s="62">
        <v>200.00000000576736</v>
      </c>
    </row>
    <row r="6" spans="1:5" ht="21" thickBot="1" x14ac:dyDescent="0.25">
      <c r="A6" s="58" t="s">
        <v>5</v>
      </c>
      <c r="B6" s="59">
        <v>90</v>
      </c>
      <c r="C6" s="56"/>
      <c r="D6" s="63" t="s">
        <v>6</v>
      </c>
      <c r="E6" s="64">
        <v>68000.000000519067</v>
      </c>
    </row>
    <row r="7" spans="1:5" ht="20" x14ac:dyDescent="0.2">
      <c r="A7" s="58" t="s">
        <v>7</v>
      </c>
      <c r="B7" s="59">
        <v>50</v>
      </c>
      <c r="C7" s="56"/>
      <c r="D7" s="80" t="s">
        <v>33</v>
      </c>
      <c r="E7" s="81"/>
    </row>
    <row r="8" spans="1:5" ht="21" thickBot="1" x14ac:dyDescent="0.25">
      <c r="A8" s="65" t="s">
        <v>8</v>
      </c>
      <c r="B8" s="66">
        <v>2000</v>
      </c>
      <c r="C8" s="56"/>
      <c r="D8" s="67" t="s">
        <v>31</v>
      </c>
      <c r="E8" s="68">
        <f>(B21/E6)</f>
        <v>0.76470588234795212</v>
      </c>
    </row>
    <row r="9" spans="1:5" ht="21" thickBot="1" x14ac:dyDescent="0.25">
      <c r="A9" s="77" t="s">
        <v>15</v>
      </c>
      <c r="B9" s="78"/>
      <c r="C9" s="56"/>
    </row>
    <row r="10" spans="1:5" ht="20" x14ac:dyDescent="0.2">
      <c r="A10" s="54" t="s">
        <v>26</v>
      </c>
      <c r="B10" s="69">
        <f>E2*B2</f>
        <v>0</v>
      </c>
      <c r="C10" s="56"/>
    </row>
    <row r="11" spans="1:5" ht="20" x14ac:dyDescent="0.2">
      <c r="A11" s="58" t="s">
        <v>27</v>
      </c>
      <c r="B11" s="70">
        <f>(E3*B3)-(E4*B3)</f>
        <v>50000</v>
      </c>
      <c r="C11" s="56"/>
    </row>
    <row r="12" spans="1:5" ht="20" x14ac:dyDescent="0.2">
      <c r="A12" s="58" t="s">
        <v>28</v>
      </c>
      <c r="B12" s="70">
        <f>E5*B6</f>
        <v>18000.000000519063</v>
      </c>
      <c r="C12" s="56"/>
    </row>
    <row r="13" spans="1:5" ht="21" thickBot="1" x14ac:dyDescent="0.25">
      <c r="A13" s="65" t="s">
        <v>9</v>
      </c>
      <c r="B13" s="71">
        <f>B10+B11+B12</f>
        <v>68000.000000519067</v>
      </c>
      <c r="C13" s="56"/>
    </row>
    <row r="14" spans="1:5" ht="21" thickBot="1" x14ac:dyDescent="0.25">
      <c r="A14" s="77" t="s">
        <v>18</v>
      </c>
      <c r="B14" s="78"/>
      <c r="C14" s="56"/>
    </row>
    <row r="15" spans="1:5" ht="20" x14ac:dyDescent="0.2">
      <c r="A15" s="54" t="s">
        <v>11</v>
      </c>
      <c r="B15" s="55">
        <v>20</v>
      </c>
      <c r="C15" s="72"/>
    </row>
    <row r="16" spans="1:5" ht="20" x14ac:dyDescent="0.2">
      <c r="A16" s="58" t="s">
        <v>10</v>
      </c>
      <c r="B16" s="70">
        <f>($E$2*(B15-$B$2))+MAX(0,B15-$B$4)*(100*$E$3)-MAX(0,B15-$B$4)*(100*$E$4)+(($B$5-$B$6)*$E$5)</f>
        <v>27000.000000057673</v>
      </c>
      <c r="C16" s="56"/>
    </row>
    <row r="17" spans="1:3" ht="20" x14ac:dyDescent="0.2">
      <c r="A17" s="58" t="s">
        <v>12</v>
      </c>
      <c r="B17" s="59">
        <v>40</v>
      </c>
      <c r="C17" s="56"/>
    </row>
    <row r="18" spans="1:3" ht="20" x14ac:dyDescent="0.2">
      <c r="A18" s="58" t="s">
        <v>10</v>
      </c>
      <c r="B18" s="70">
        <f>($E$2*(B17-$B$2))+MAX(0,B17-$B$4)*(100*$E$3)-MAX(0,B17-$B$4)*(100*$E$4)+(($B$5-$B$6)*$E$5)</f>
        <v>127000.00000005767</v>
      </c>
      <c r="C18" s="56"/>
    </row>
    <row r="19" spans="1:3" ht="20" x14ac:dyDescent="0.2">
      <c r="A19" s="58" t="s">
        <v>13</v>
      </c>
      <c r="B19" s="59">
        <v>12</v>
      </c>
      <c r="C19" s="56"/>
    </row>
    <row r="20" spans="1:3" ht="20" x14ac:dyDescent="0.2">
      <c r="A20" s="58" t="s">
        <v>10</v>
      </c>
      <c r="B20" s="70">
        <f>($E$2*(B19-$B$2))+MAX(0,B19-$B$4)*(100*$E$3)-MAX(0,B19-$B$4)*(100*$E$4)+(($B$5-$B$6)*$E$5)</f>
        <v>2000.0000000576736</v>
      </c>
      <c r="C20" s="56"/>
    </row>
    <row r="21" spans="1:3" ht="21" thickBot="1" x14ac:dyDescent="0.25">
      <c r="A21" s="61" t="s">
        <v>14</v>
      </c>
      <c r="B21" s="73">
        <f>(B16+B18+B20)/3</f>
        <v>52000.000000057677</v>
      </c>
      <c r="C21" s="56"/>
    </row>
    <row r="22" spans="1:3" ht="20" x14ac:dyDescent="0.2">
      <c r="C22" s="72"/>
    </row>
  </sheetData>
  <mergeCells count="5">
    <mergeCell ref="A1:B1"/>
    <mergeCell ref="D1:E1"/>
    <mergeCell ref="A9:B9"/>
    <mergeCell ref="A14:B14"/>
    <mergeCell ref="D7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learSolverParameters_ROI">
                <anchor moveWithCells="1" sizeWithCells="1">
                  <from>
                    <xdr:col>3</xdr:col>
                    <xdr:colOff>2552700</xdr:colOff>
                    <xdr:row>8</xdr:row>
                    <xdr:rowOff>88900</xdr:rowOff>
                  </from>
                  <to>
                    <xdr:col>5</xdr:col>
                    <xdr:colOff>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olveModel_ROI">
                <anchor moveWithCells="1" sizeWithCells="1">
                  <from>
                    <xdr:col>3</xdr:col>
                    <xdr:colOff>12700</xdr:colOff>
                    <xdr:row>8</xdr:row>
                    <xdr:rowOff>88900</xdr:rowOff>
                  </from>
                  <to>
                    <xdr:col>3</xdr:col>
                    <xdr:colOff>1536700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Investment_Solver</vt:lpstr>
      <vt:lpstr>Optimise_Inverstment-Return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Thansrichai, Suracha</dc:creator>
  <cp:lastModifiedBy>Thansrichai, Suracha</cp:lastModifiedBy>
  <dcterms:created xsi:type="dcterms:W3CDTF">2024-05-22T00:12:35Z</dcterms:created>
  <dcterms:modified xsi:type="dcterms:W3CDTF">2024-05-26T17:28:10Z</dcterms:modified>
</cp:coreProperties>
</file>